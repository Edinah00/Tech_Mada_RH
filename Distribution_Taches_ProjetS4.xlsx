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itulation Générale" sheetId="1" state="visible" r:id="rId3"/>
    <sheet name="Tâches – Mpiaro" sheetId="2" state="visible" r:id="rId4"/>
    <sheet name="Tâches – Edinah" sheetId="3" state="visible" r:id="rId5"/>
    <sheet name="Tâches – Caro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<sst xmlns="http://schemas.openxmlformats.org/spreadsheetml/2006/main" count="495" uniqueCount="184">
  <si>
    <t xml:space="preserve">Récapitulation de la distribution des tâches</t>
  </si>
  <si>
    <t xml:space="preserve">Qui</t>
  </si>
  <si>
    <t xml:space="preserve">Somme de
Estimation (min)</t>
  </si>
  <si>
    <t xml:space="preserve">Nb tâches</t>
  </si>
  <si>
    <t xml:space="preserve">Mpiaro</t>
  </si>
  <si>
    <t xml:space="preserve">Edinah</t>
  </si>
  <si>
    <t xml:space="preserve">Carole</t>
  </si>
  <si>
    <t xml:space="preserve">Total général</t>
  </si>
  <si>
    <t xml:space="preserve">Tâches – Mpiaro </t>
  </si>
  <si>
    <t xml:space="preserve">Jour</t>
  </si>
  <si>
    <t xml:space="preserve">Module</t>
  </si>
  <si>
    <t xml:space="preserve">Composant</t>
  </si>
  <si>
    <t xml:space="preserve">Description</t>
  </si>
  <si>
    <t xml:space="preserve">Type</t>
  </si>
  <si>
    <t xml:space="preserve">Temps (min)</t>
  </si>
  <si>
    <t xml:space="preserve">Jour 1</t>
  </si>
  <si>
    <t xml:space="preserve">Git</t>
  </si>
  <si>
    <t xml:space="preserve">Repo + branches</t>
  </si>
  <si>
    <t xml:space="preserve">Créer repo GitHub, branche mitambatra, branche mpiaro</t>
  </si>
  <si>
    <t xml:space="preserve">5</t>
  </si>
  <si>
    <t xml:space="preserve">Base de données</t>
  </si>
  <si>
    <t xml:space="preserve">schema.sql</t>
  </si>
  <si>
    <t xml:space="preserve">Création tables : users, regimes, activites, aliments, codes, programmes</t>
  </si>
  <si>
    <t xml:space="preserve">SQL</t>
  </si>
  <si>
    <t xml:space="preserve">15</t>
  </si>
  <si>
    <t xml:space="preserve">data.sql</t>
  </si>
  <si>
    <t xml:space="preserve">Seed : 5 régimes, 5 activités, 15 codes</t>
  </si>
  <si>
    <t xml:space="preserve">10</t>
  </si>
  <si>
    <t xml:space="preserve">push</t>
  </si>
  <si>
    <t xml:space="preserve">Push schema.sql + data.sql → branche mpiaro</t>
  </si>
  <si>
    <t xml:space="preserve">Git Push</t>
  </si>
  <si>
    <t xml:space="preserve">2</t>
  </si>
  <si>
    <t xml:space="preserve">Config CI4</t>
  </si>
  <si>
    <t xml:space="preserve">Routes.php</t>
  </si>
  <si>
    <t xml:space="preserve">Définition toutes les routes (auth, front, admin)</t>
  </si>
  <si>
    <t xml:space="preserve">PHP Config</t>
  </si>
  <si>
    <t xml:space="preserve">Push routes.php → branche mpiaro</t>
  </si>
  <si>
    <t xml:space="preserve">SuggestionController</t>
  </si>
  <si>
    <t xml:space="preserve">index()</t>
  </si>
  <si>
    <t xml:space="preserve">Chargement page suggestions + objectifs user</t>
  </si>
  <si>
    <t xml:space="preserve">PHP Controller</t>
  </si>
  <si>
    <t xml:space="preserve">getSuggestions() AJAX</t>
  </si>
  <si>
    <t xml:space="preserve">Algo suggestion : IMC + objectif → régimes &amp; activités</t>
  </si>
  <si>
    <t xml:space="preserve">20</t>
  </si>
  <si>
    <t xml:space="preserve">Push SuggestionController → branche mpiaro</t>
  </si>
  <si>
    <t xml:space="preserve">merge → mitambatra</t>
  </si>
  <si>
    <t xml:space="preserve">Merge mpiaro → mitambatra + test local</t>
  </si>
  <si>
    <t xml:space="preserve">Git Merge</t>
  </si>
  <si>
    <t xml:space="preserve">Jour 2</t>
  </si>
  <si>
    <t xml:space="preserve">AuthController</t>
  </si>
  <si>
    <t xml:space="preserve">registerStep2() AJAX</t>
  </si>
  <si>
    <t xml:space="preserve">Validation taille/poids, calcul IMC, enregistrement user</t>
  </si>
  <si>
    <t xml:space="preserve">Push registerStep2 → branche mpiaro</t>
  </si>
  <si>
    <t xml:space="preserve">ProgrammeController</t>
  </si>
  <si>
    <t xml:space="preserve">exportPdf($id)</t>
  </si>
  <si>
    <t xml:space="preserve">Génération PDF programme (régime + activité + durée)</t>
  </si>
  <si>
    <t xml:space="preserve">Views</t>
  </si>
  <si>
    <t xml:space="preserve">pdf_template.php</t>
  </si>
  <si>
    <t xml:space="preserve">Template HTML du PDF : IMC, régime, activité, durée</t>
  </si>
  <si>
    <t xml:space="preserve">PHP View</t>
  </si>
  <si>
    <t xml:space="preserve">Push exportPdf + pdf_template → branche mpiaro</t>
  </si>
  <si>
    <t xml:space="preserve">AdminController</t>
  </si>
  <si>
    <t xml:space="preserve">stats()</t>
  </si>
  <si>
    <t xml:space="preserve">Agrégation données : nb users, achats, revenus, Gold</t>
  </si>
  <si>
    <t xml:space="preserve">CRUD Régimes</t>
  </si>
  <si>
    <t xml:space="preserve">storeRegime(), updateRegime(), deleteRegime() + validation</t>
  </si>
  <si>
    <t xml:space="preserve">25</t>
  </si>
  <si>
    <t xml:space="preserve">CRUD Codes</t>
  </si>
  <si>
    <t xml:space="preserve">storeCode(), validerCode(), deleteCode()</t>
  </si>
  <si>
    <t xml:space="preserve">Push admin stats + CRUD régimes/codes → branche mpiaro</t>
  </si>
  <si>
    <t xml:space="preserve">Merge mpiaro → mitambatra + test</t>
  </si>
  <si>
    <t xml:space="preserve">Jour 3</t>
  </si>
  <si>
    <t xml:space="preserve">Views Admin</t>
  </si>
  <si>
    <t xml:space="preserve">stats.php</t>
  </si>
  <si>
    <t xml:space="preserve">Vue stats : graphes Chart.js (camembert, barres), tableaux croisés</t>
  </si>
  <si>
    <t xml:space="preserve">PHP View / JS</t>
  </si>
  <si>
    <t xml:space="preserve">CSS Admin</t>
  </si>
  <si>
    <t xml:space="preserve">admin/*.php</t>
  </si>
  <si>
    <t xml:space="preserve">Style back office : tableaux, modaux, badges statut</t>
  </si>
  <si>
    <t xml:space="preserve">CSS</t>
  </si>
  <si>
    <t xml:space="preserve">Push vues admin + CSS → branche mpiaro</t>
  </si>
  <si>
    <t xml:space="preserve">Test</t>
  </si>
  <si>
    <t xml:space="preserve">Admin CRUD</t>
  </si>
  <si>
    <t xml:space="preserve">Tests CRUD régimes/codes, corrections bugs</t>
  </si>
  <si>
    <t xml:space="preserve">Test/Debug</t>
  </si>
  <si>
    <t xml:space="preserve">Push corrections → branche mpiaro</t>
  </si>
  <si>
    <t xml:space="preserve">Merge mpiaro → mitambatra (version finale)</t>
  </si>
  <si>
    <t xml:space="preserve">merge mitambatra → main</t>
  </si>
  <si>
    <t xml:space="preserve">Merge mitambatra → main après validation équipe + tag v1.0</t>
  </si>
  <si>
    <t xml:space="preserve">TOTAL</t>
  </si>
  <si>
    <t xml:space="preserve">Tâches – Edinah </t>
  </si>
  <si>
    <t xml:space="preserve">branche edinah</t>
  </si>
  <si>
    <t xml:space="preserve">Créer branche edinah depuis mitambatra</t>
  </si>
  <si>
    <t xml:space="preserve">3</t>
  </si>
  <si>
    <t xml:space="preserve">login() POST</t>
  </si>
  <si>
    <t xml:space="preserve">Validation credentials, création session, redirection</t>
  </si>
  <si>
    <t xml:space="preserve">logout()</t>
  </si>
  <si>
    <t xml:space="preserve">Destruction session, redirection login</t>
  </si>
  <si>
    <t xml:space="preserve">login.php</t>
  </si>
  <si>
    <t xml:space="preserve">Page login : formulaire email/mdp, messages erreur</t>
  </si>
  <si>
    <t xml:space="preserve">12</t>
  </si>
  <si>
    <t xml:space="preserve">Push AuthController + vue login → branche edinah</t>
  </si>
  <si>
    <t xml:space="preserve">suggestions.php</t>
  </si>
  <si>
    <t xml:space="preserve">Interface suggestions : cartes régimes + activités via AJAX</t>
  </si>
  <si>
    <t xml:space="preserve">Push vue suggestions → branche edinah</t>
  </si>
  <si>
    <t xml:space="preserve">Merge edinah → mitambatra + test login</t>
  </si>
  <si>
    <t xml:space="preserve">acheter()</t>
  </si>
  <si>
    <t xml:space="preserve">Vérif solde, remise Gold 15%, déduction, enregistrement programme</t>
  </si>
  <si>
    <t xml:space="preserve">mes_programmes.php</t>
  </si>
  <si>
    <t xml:space="preserve">Squelette vue mes programmes (liste, bouton PDF par ligne)</t>
  </si>
  <si>
    <t xml:space="preserve">Push ProgrammeController + vue mes_programmes → edinah</t>
  </si>
  <si>
    <t xml:space="preserve">portefeuille.php</t>
  </si>
  <si>
    <t xml:space="preserve">Interface portefeuille : solde, saisie code recharge, bouton Gold</t>
  </si>
  <si>
    <t xml:space="preserve">18</t>
  </si>
  <si>
    <t xml:space="preserve">Auth admin</t>
  </si>
  <si>
    <t xml:space="preserve">Page login admin, vérif rôle, filtre session admin</t>
  </si>
  <si>
    <t xml:space="preserve">CRUD Aliments</t>
  </si>
  <si>
    <t xml:space="preserve">aliments(), storeAliment(), deleteAliment() — % viande/poisson/volaille</t>
  </si>
  <si>
    <t xml:space="preserve">aliments.php</t>
  </si>
  <si>
    <t xml:space="preserve">Table aliments : formulaire ajout inline, suppression</t>
  </si>
  <si>
    <t xml:space="preserve">Vérif/ajout 5 users test + hash bcrypt des mots de passe</t>
  </si>
  <si>
    <t xml:space="preserve">SQL/Data</t>
  </si>
  <si>
    <t xml:space="preserve">Push portefeuille + admin auth/aliments + data → edinah</t>
  </si>
  <si>
    <t xml:space="preserve">Merge edinah → mitambatra + test achat/portefeuille</t>
  </si>
  <si>
    <t xml:space="preserve">Views Partials</t>
  </si>
  <si>
    <t xml:space="preserve">sidebar.php</t>
  </si>
  <si>
    <t xml:space="preserve">Sidebar front : liens dashboard, suggestions, mes programmes, portefeuille</t>
  </si>
  <si>
    <t xml:space="preserve">regimes.php</t>
  </si>
  <si>
    <t xml:space="preserve">Table régimes : modal ajout/edit, %, durée, prix, boutons CRUD</t>
  </si>
  <si>
    <t xml:space="preserve">Push sidebar + vue régimes → branche edinah</t>
  </si>
  <si>
    <t xml:space="preserve">Front office</t>
  </si>
  <si>
    <t xml:space="preserve">Tests inscription → dashboard, achat régime, recharge code, PDF</t>
  </si>
  <si>
    <t xml:space="preserve">Push corrections tests → branche edinah</t>
  </si>
  <si>
    <t xml:space="preserve">Merge edinah → mitambatra (version finale)</t>
  </si>
  <si>
    <t xml:space="preserve">pull main</t>
  </si>
  <si>
    <t xml:space="preserve">Pull mitambatra → main (vérification déploiement local)</t>
  </si>
  <si>
    <t xml:space="preserve">Git Pull</t>
  </si>
  <si>
    <t xml:space="preserve">Tâches – Carole </t>
  </si>
  <si>
    <t xml:space="preserve">branche carole</t>
  </si>
  <si>
    <t xml:space="preserve">Créer branche carole depuis mitambatra, vérif .env + database.php</t>
  </si>
  <si>
    <t xml:space="preserve">register() + registerStep1() AJAX</t>
  </si>
  <si>
    <t xml:space="preserve">GET formulaire étape 1 + AJAX : validation nom/email/mdp/genre</t>
  </si>
  <si>
    <t xml:space="preserve">register.php (étape 1)</t>
  </si>
  <si>
    <t xml:space="preserve">Formulaire étape 1 : nom, email, genre, mdp — stepper visuel</t>
  </si>
  <si>
    <t xml:space="preserve">register.php (étape 2)</t>
  </si>
  <si>
    <t xml:space="preserve">Formulaire étape 2 : taille, poids — IMC calculé en live (JS)</t>
  </si>
  <si>
    <t xml:space="preserve">Push register views + controller → branche carole</t>
  </si>
  <si>
    <t xml:space="preserve">DashboardController</t>
  </si>
  <si>
    <t xml:space="preserve">Chargement données user : IMC, solde, statut Gold, derniers programmes</t>
  </si>
  <si>
    <t xml:space="preserve">index.php (dashboard)</t>
  </si>
  <si>
    <t xml:space="preserve">Dashboard : carte IMC colorée, solde, badge Gold, raccourcis</t>
  </si>
  <si>
    <t xml:space="preserve">Push DashboardController + vue dashboard → carole</t>
  </si>
  <si>
    <t xml:space="preserve">Merge carole → mitambatra + test inscription + dashboard</t>
  </si>
  <si>
    <t xml:space="preserve">PortefeuilleController</t>
  </si>
  <si>
    <t xml:space="preserve">Affichage solde portefeuille</t>
  </si>
  <si>
    <t xml:space="preserve">8</t>
  </si>
  <si>
    <t xml:space="preserve">recharger() AJAX</t>
  </si>
  <si>
    <t xml:space="preserve">Validation code recharge, crédit solde utilisateur</t>
  </si>
  <si>
    <t xml:space="preserve">demanderGold() AJAX</t>
  </si>
  <si>
    <t xml:space="preserve">Demande option Gold, vérif solde suffisant, activation</t>
  </si>
  <si>
    <t xml:space="preserve">Push PortefeuilleController → branche carole</t>
  </si>
  <si>
    <t xml:space="preserve">mes_programmes.php (final)</t>
  </si>
  <si>
    <t xml:space="preserve">Finalisation : liste programmes, infos régime, bouton PDF</t>
  </si>
  <si>
    <t xml:space="preserve">CRUD Activités</t>
  </si>
  <si>
    <t xml:space="preserve">activites(), storeActivite(), updateActivite(), deleteActivite()</t>
  </si>
  <si>
    <t xml:space="preserve">activites.php</t>
  </si>
  <si>
    <t xml:space="preserve">Table activités : formulaire ajout/édition, durée, intensité</t>
  </si>
  <si>
    <t xml:space="preserve">CRUD Users</t>
  </si>
  <si>
    <t xml:space="preserve">users(), toggleGold(), requestGold() — validation demandes Gold</t>
  </si>
  <si>
    <t xml:space="preserve">users.php</t>
  </si>
  <si>
    <t xml:space="preserve">Table users : statut Gold, solde, bouton activer/désactiver Gold</t>
  </si>
  <si>
    <t xml:space="preserve">Push PortefeuilleController + admin activités/users → carole</t>
  </si>
  <si>
    <t xml:space="preserve">Merge carole → mitambatra + test portefeuille/admin</t>
  </si>
  <si>
    <t xml:space="preserve">CSS Front</t>
  </si>
  <si>
    <t xml:space="preserve">dashboard/*.php</t>
  </si>
  <si>
    <t xml:space="preserve">Style global front : couleurs IMC, cartes régimes, responsive</t>
  </si>
  <si>
    <t xml:space="preserve">22</t>
  </si>
  <si>
    <t xml:space="preserve">codes.php</t>
  </si>
  <si>
    <t xml:space="preserve">Table codes : statut, date utilisation, user, suppression</t>
  </si>
  <si>
    <t xml:space="preserve">Push CSS front + vue codes → branche carole</t>
  </si>
  <si>
    <t xml:space="preserve">End-to-end</t>
  </si>
  <si>
    <t xml:space="preserve">Tests complets : inscription → achat → PDF, Gold, code invalide</t>
  </si>
  <si>
    <t xml:space="preserve">Push corrections finales → branche carole</t>
  </si>
  <si>
    <t xml:space="preserve">Merge carole → mitambatra (version finale)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</si>
</sst>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D6E4F7"/>
        <bgColor rgb="FFD5F5E3"/>
      </patternFill>
    </fill>
    <fill>
      <patternFill patternType="solid">
        <fgColor rgb="FFD5F5E3"/>
        <bgColor rgb="FFEAFAF1"/>
      </patternFill>
    </fill>
    <fill>
      <patternFill patternType="solid">
        <fgColor rgb="FFFDE8D8"/>
        <bgColor rgb="FFF2F2F2"/>
      </patternFill>
    </fill>
    <fill>
      <patternFill patternType="solid">
        <fgColor rgb="FFF2F2F2"/>
        <bgColor rgb="FFEBF5FB"/>
      </patternFill>
    </fill>
    <fill>
      <patternFill patternType="solid">
        <fgColor rgb="FFEBF5FB"/>
        <bgColor rgb="FFEAFAF1"/>
      </patternFill>
    </fill>
    <fill>
      <patternFill patternType="solid">
        <fgColor rgb="FFFEF9E7"/>
        <bgColor rgb="FFFFFFFF"/>
      </patternFill>
    </fill>
    <fill>
      <patternFill patternType="solid">
        <fgColor rgb="FFEAFAF1"/>
        <bgColor rgb="FFEBF5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EF9E7"/>
      <rgbColor rgb="FFEAFAF1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8D8"/>
      <rgbColor rgb="FF99CCFF"/>
      <rgbColor rgb="FFFF99CC"/>
      <rgbColor rgb="FFCC99FF"/>
      <rgbColor rgb="FFF2F2F2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8" activeCellId="0" sqref="C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9.5" hidden="false" customHeight="true" outlineLevel="0" collapsed="false">
      <c r="A3" s="3" t="s">
        <v>4</v>
      </c>
      <c r="B3" s="4" t="n">
        <f aca="false">'Tâches – Mpiaro'!F30</f>
        <v>286</v>
      </c>
      <c r="C3" s="4" t="n">
        <v>27</v>
      </c>
    </row>
    <row r="4" customFormat="false" ht="19.5" hidden="false" customHeight="true" outlineLevel="0" collapsed="false">
      <c r="A4" s="5" t="s">
        <v>5</v>
      </c>
      <c r="B4" s="6" t="n">
        <f aca="false">'Tâches – Edinah'!F28</f>
        <v>250</v>
      </c>
      <c r="C4" s="6" t="n">
        <v>25</v>
      </c>
    </row>
    <row r="5" customFormat="false" ht="19.5" hidden="false" customHeight="true" outlineLevel="0" collapsed="false">
      <c r="A5" s="7" t="s">
        <v>6</v>
      </c>
      <c r="B5" s="8" t="n">
        <f aca="false">'Tâches – Carole'!F29</f>
        <v>267</v>
      </c>
      <c r="C5" s="8" t="n">
        <v>26</v>
      </c>
    </row>
    <row r="6" customFormat="false" ht="21.75" hidden="false" customHeight="true" outlineLevel="0" collapsed="false">
      <c r="A6" s="9" t="s">
        <v>7</v>
      </c>
      <c r="B6" s="10" t="n">
        <f aca="false">SUM(B3:B5)</f>
        <v>803</v>
      </c>
      <c r="C6" s="10" t="n">
        <v>78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28" activePane="bottomLeft" state="frozen"/>
      <selection pane="topLeft" activeCell="A1" activeCellId="0" sqref="A1"/>
      <selection pane="bottomLeft" activeCell="F30" activeCellId="0" sqref="F3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4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1" t="s">
        <v>8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 customFormat="false" ht="19.5" hidden="false" customHeight="true" outlineLevel="0" collapsed="false">
      <c r="A3" s="12" t="s">
        <v>15</v>
      </c>
      <c r="B3" s="13" t="s">
        <v>16</v>
      </c>
      <c r="C3" s="13" t="s">
        <v>17</v>
      </c>
      <c r="D3" s="13" t="s">
        <v>18</v>
      </c>
      <c r="E3" s="14" t="s">
        <v>16</v>
      </c>
      <c r="F3" s="14" t="s">
        <v>19</v>
      </c>
    </row>
    <row r="4" customFormat="false" ht="19.5" hidden="false" customHeight="true" outlineLevel="0" collapsed="false">
      <c r="A4" s="12" t="s">
        <v>15</v>
      </c>
      <c r="B4" s="13" t="s">
        <v>20</v>
      </c>
      <c r="C4" s="13" t="s">
        <v>21</v>
      </c>
      <c r="D4" s="13" t="s">
        <v>22</v>
      </c>
      <c r="E4" s="14" t="s">
        <v>23</v>
      </c>
      <c r="F4" s="14" t="s">
        <v>24</v>
      </c>
    </row>
    <row r="5" customFormat="false" ht="19.5" hidden="false" customHeight="true" outlineLevel="0" collapsed="false">
      <c r="A5" s="12" t="s">
        <v>15</v>
      </c>
      <c r="B5" s="13" t="s">
        <v>20</v>
      </c>
      <c r="C5" s="13" t="s">
        <v>25</v>
      </c>
      <c r="D5" s="13" t="s">
        <v>26</v>
      </c>
      <c r="E5" s="14" t="s">
        <v>23</v>
      </c>
      <c r="F5" s="14" t="s">
        <v>27</v>
      </c>
    </row>
    <row r="6" customFormat="false" ht="19.5" hidden="false" customHeight="true" outlineLevel="0" collapsed="false">
      <c r="A6" s="12" t="s">
        <v>15</v>
      </c>
      <c r="B6" s="13" t="s">
        <v>16</v>
      </c>
      <c r="C6" s="13" t="s">
        <v>28</v>
      </c>
      <c r="D6" s="13" t="s">
        <v>29</v>
      </c>
      <c r="E6" s="14" t="s">
        <v>30</v>
      </c>
      <c r="F6" s="14" t="s">
        <v>31</v>
      </c>
    </row>
    <row r="7" customFormat="false" ht="19.5" hidden="false" customHeight="true" outlineLevel="0" collapsed="false">
      <c r="A7" s="12" t="s">
        <v>15</v>
      </c>
      <c r="B7" s="13" t="s">
        <v>32</v>
      </c>
      <c r="C7" s="13" t="s">
        <v>33</v>
      </c>
      <c r="D7" s="13" t="s">
        <v>34</v>
      </c>
      <c r="E7" s="14" t="s">
        <v>35</v>
      </c>
      <c r="F7" s="14" t="s">
        <v>24</v>
      </c>
    </row>
    <row r="8" customFormat="false" ht="19.5" hidden="false" customHeight="true" outlineLevel="0" collapsed="false">
      <c r="A8" s="12" t="s">
        <v>15</v>
      </c>
      <c r="B8" s="13" t="s">
        <v>16</v>
      </c>
      <c r="C8" s="13" t="s">
        <v>28</v>
      </c>
      <c r="D8" s="13" t="s">
        <v>36</v>
      </c>
      <c r="E8" s="14" t="s">
        <v>30</v>
      </c>
      <c r="F8" s="14" t="s">
        <v>31</v>
      </c>
    </row>
    <row r="9" customFormat="false" ht="19.5" hidden="false" customHeight="true" outlineLevel="0" collapsed="false">
      <c r="A9" s="12" t="s">
        <v>15</v>
      </c>
      <c r="B9" s="13" t="s">
        <v>37</v>
      </c>
      <c r="C9" s="13" t="s">
        <v>38</v>
      </c>
      <c r="D9" s="13" t="s">
        <v>39</v>
      </c>
      <c r="E9" s="14" t="s">
        <v>40</v>
      </c>
      <c r="F9" s="14" t="s">
        <v>24</v>
      </c>
    </row>
    <row r="10" customFormat="false" ht="19.5" hidden="false" customHeight="true" outlineLevel="0" collapsed="false">
      <c r="A10" s="12" t="s">
        <v>15</v>
      </c>
      <c r="B10" s="13" t="s">
        <v>37</v>
      </c>
      <c r="C10" s="13" t="s">
        <v>41</v>
      </c>
      <c r="D10" s="13" t="s">
        <v>42</v>
      </c>
      <c r="E10" s="14" t="s">
        <v>40</v>
      </c>
      <c r="F10" s="14" t="s">
        <v>43</v>
      </c>
    </row>
    <row r="11" customFormat="false" ht="19.5" hidden="false" customHeight="true" outlineLevel="0" collapsed="false">
      <c r="A11" s="12" t="s">
        <v>15</v>
      </c>
      <c r="B11" s="13" t="s">
        <v>16</v>
      </c>
      <c r="C11" s="13" t="s">
        <v>28</v>
      </c>
      <c r="D11" s="13" t="s">
        <v>44</v>
      </c>
      <c r="E11" s="14" t="s">
        <v>30</v>
      </c>
      <c r="F11" s="14" t="s">
        <v>31</v>
      </c>
    </row>
    <row r="12" customFormat="false" ht="19.5" hidden="false" customHeight="true" outlineLevel="0" collapsed="false">
      <c r="A12" s="12" t="s">
        <v>15</v>
      </c>
      <c r="B12" s="13" t="s">
        <v>16</v>
      </c>
      <c r="C12" s="13" t="s">
        <v>45</v>
      </c>
      <c r="D12" s="13" t="s">
        <v>46</v>
      </c>
      <c r="E12" s="14" t="s">
        <v>47</v>
      </c>
      <c r="F12" s="14" t="s">
        <v>19</v>
      </c>
    </row>
    <row r="13" customFormat="false" ht="19.5" hidden="false" customHeight="true" outlineLevel="0" collapsed="false">
      <c r="A13" s="15" t="s">
        <v>48</v>
      </c>
      <c r="B13" s="16" t="s">
        <v>49</v>
      </c>
      <c r="C13" s="16" t="s">
        <v>50</v>
      </c>
      <c r="D13" s="16" t="s">
        <v>51</v>
      </c>
      <c r="E13" s="17" t="s">
        <v>40</v>
      </c>
      <c r="F13" s="17" t="s">
        <v>43</v>
      </c>
    </row>
    <row r="14" customFormat="false" ht="19.5" hidden="false" customHeight="true" outlineLevel="0" collapsed="false">
      <c r="A14" s="15" t="s">
        <v>48</v>
      </c>
      <c r="B14" s="16" t="s">
        <v>16</v>
      </c>
      <c r="C14" s="16" t="s">
        <v>28</v>
      </c>
      <c r="D14" s="16" t="s">
        <v>52</v>
      </c>
      <c r="E14" s="17" t="s">
        <v>30</v>
      </c>
      <c r="F14" s="17" t="s">
        <v>31</v>
      </c>
    </row>
    <row r="15" customFormat="false" ht="19.5" hidden="false" customHeight="true" outlineLevel="0" collapsed="false">
      <c r="A15" s="15" t="s">
        <v>48</v>
      </c>
      <c r="B15" s="16" t="s">
        <v>53</v>
      </c>
      <c r="C15" s="16" t="s">
        <v>54</v>
      </c>
      <c r="D15" s="16" t="s">
        <v>55</v>
      </c>
      <c r="E15" s="17" t="s">
        <v>40</v>
      </c>
      <c r="F15" s="17" t="s">
        <v>43</v>
      </c>
    </row>
    <row r="16" customFormat="false" ht="19.5" hidden="false" customHeight="true" outlineLevel="0" collapsed="false">
      <c r="A16" s="15" t="s">
        <v>48</v>
      </c>
      <c r="B16" s="16" t="s">
        <v>56</v>
      </c>
      <c r="C16" s="16" t="s">
        <v>57</v>
      </c>
      <c r="D16" s="16" t="s">
        <v>58</v>
      </c>
      <c r="E16" s="17" t="s">
        <v>59</v>
      </c>
      <c r="F16" s="17" t="s">
        <v>24</v>
      </c>
    </row>
    <row r="17" customFormat="false" ht="19.5" hidden="false" customHeight="true" outlineLevel="0" collapsed="false">
      <c r="A17" s="15" t="s">
        <v>48</v>
      </c>
      <c r="B17" s="16" t="s">
        <v>16</v>
      </c>
      <c r="C17" s="16" t="s">
        <v>28</v>
      </c>
      <c r="D17" s="16" t="s">
        <v>60</v>
      </c>
      <c r="E17" s="17" t="s">
        <v>30</v>
      </c>
      <c r="F17" s="17" t="s">
        <v>31</v>
      </c>
    </row>
    <row r="18" customFormat="false" ht="19.5" hidden="false" customHeight="true" outlineLevel="0" collapsed="false">
      <c r="A18" s="15" t="s">
        <v>48</v>
      </c>
      <c r="B18" s="16" t="s">
        <v>61</v>
      </c>
      <c r="C18" s="16" t="s">
        <v>62</v>
      </c>
      <c r="D18" s="16" t="s">
        <v>63</v>
      </c>
      <c r="E18" s="17" t="s">
        <v>40</v>
      </c>
      <c r="F18" s="17" t="s">
        <v>43</v>
      </c>
    </row>
    <row r="19" customFormat="false" ht="19.5" hidden="false" customHeight="true" outlineLevel="0" collapsed="false">
      <c r="A19" s="15" t="s">
        <v>48</v>
      </c>
      <c r="B19" s="16" t="s">
        <v>61</v>
      </c>
      <c r="C19" s="16" t="s">
        <v>64</v>
      </c>
      <c r="D19" s="16" t="s">
        <v>65</v>
      </c>
      <c r="E19" s="17" t="s">
        <v>40</v>
      </c>
      <c r="F19" s="17" t="s">
        <v>66</v>
      </c>
    </row>
    <row r="20" customFormat="false" ht="19.5" hidden="false" customHeight="true" outlineLevel="0" collapsed="false">
      <c r="A20" s="15" t="s">
        <v>48</v>
      </c>
      <c r="B20" s="16" t="s">
        <v>61</v>
      </c>
      <c r="C20" s="16" t="s">
        <v>67</v>
      </c>
      <c r="D20" s="16" t="s">
        <v>68</v>
      </c>
      <c r="E20" s="17" t="s">
        <v>40</v>
      </c>
      <c r="F20" s="17" t="s">
        <v>24</v>
      </c>
    </row>
    <row r="21" customFormat="false" ht="19.5" hidden="false" customHeight="true" outlineLevel="0" collapsed="false">
      <c r="A21" s="15" t="s">
        <v>48</v>
      </c>
      <c r="B21" s="16" t="s">
        <v>16</v>
      </c>
      <c r="C21" s="16" t="s">
        <v>28</v>
      </c>
      <c r="D21" s="16" t="s">
        <v>69</v>
      </c>
      <c r="E21" s="17" t="s">
        <v>30</v>
      </c>
      <c r="F21" s="17" t="s">
        <v>31</v>
      </c>
    </row>
    <row r="22" customFormat="false" ht="19.5" hidden="false" customHeight="true" outlineLevel="0" collapsed="false">
      <c r="A22" s="15" t="s">
        <v>48</v>
      </c>
      <c r="B22" s="16" t="s">
        <v>16</v>
      </c>
      <c r="C22" s="16" t="s">
        <v>45</v>
      </c>
      <c r="D22" s="16" t="s">
        <v>70</v>
      </c>
      <c r="E22" s="17" t="s">
        <v>47</v>
      </c>
      <c r="F22" s="17" t="s">
        <v>19</v>
      </c>
    </row>
    <row r="23" customFormat="false" ht="19.5" hidden="false" customHeight="true" outlineLevel="0" collapsed="false">
      <c r="A23" s="18" t="s">
        <v>71</v>
      </c>
      <c r="B23" s="19" t="s">
        <v>72</v>
      </c>
      <c r="C23" s="19" t="s">
        <v>73</v>
      </c>
      <c r="D23" s="19" t="s">
        <v>74</v>
      </c>
      <c r="E23" s="20" t="s">
        <v>75</v>
      </c>
      <c r="F23" s="20" t="s">
        <v>66</v>
      </c>
    </row>
    <row r="24" customFormat="false" ht="19.5" hidden="false" customHeight="true" outlineLevel="0" collapsed="false">
      <c r="A24" s="18" t="s">
        <v>71</v>
      </c>
      <c r="B24" s="19" t="s">
        <v>76</v>
      </c>
      <c r="C24" s="19" t="s">
        <v>77</v>
      </c>
      <c r="D24" s="19" t="s">
        <v>78</v>
      </c>
      <c r="E24" s="20" t="s">
        <v>79</v>
      </c>
      <c r="F24" s="20" t="s">
        <v>24</v>
      </c>
    </row>
    <row r="25" customFormat="false" ht="19.5" hidden="false" customHeight="true" outlineLevel="0" collapsed="false">
      <c r="A25" s="18" t="s">
        <v>71</v>
      </c>
      <c r="B25" s="19" t="s">
        <v>16</v>
      </c>
      <c r="C25" s="19" t="s">
        <v>28</v>
      </c>
      <c r="D25" s="19" t="s">
        <v>80</v>
      </c>
      <c r="E25" s="20" t="s">
        <v>30</v>
      </c>
      <c r="F25" s="20" t="s">
        <v>31</v>
      </c>
    </row>
    <row r="26" customFormat="false" ht="19.5" hidden="false" customHeight="true" outlineLevel="0" collapsed="false">
      <c r="A26" s="18" t="s">
        <v>71</v>
      </c>
      <c r="B26" s="19" t="s">
        <v>81</v>
      </c>
      <c r="C26" s="19" t="s">
        <v>82</v>
      </c>
      <c r="D26" s="19" t="s">
        <v>83</v>
      </c>
      <c r="E26" s="20" t="s">
        <v>84</v>
      </c>
      <c r="F26" s="20" t="s">
        <v>24</v>
      </c>
    </row>
    <row r="27" customFormat="false" ht="19.5" hidden="false" customHeight="true" outlineLevel="0" collapsed="false">
      <c r="A27" s="18" t="s">
        <v>71</v>
      </c>
      <c r="B27" s="19" t="s">
        <v>16</v>
      </c>
      <c r="C27" s="19" t="s">
        <v>28</v>
      </c>
      <c r="D27" s="19" t="s">
        <v>85</v>
      </c>
      <c r="E27" s="20" t="s">
        <v>30</v>
      </c>
      <c r="F27" s="20" t="s">
        <v>31</v>
      </c>
    </row>
    <row r="28" customFormat="false" ht="19.5" hidden="false" customHeight="true" outlineLevel="0" collapsed="false">
      <c r="A28" s="18" t="s">
        <v>71</v>
      </c>
      <c r="B28" s="19" t="s">
        <v>16</v>
      </c>
      <c r="C28" s="19" t="s">
        <v>45</v>
      </c>
      <c r="D28" s="19" t="s">
        <v>86</v>
      </c>
      <c r="E28" s="20" t="s">
        <v>47</v>
      </c>
      <c r="F28" s="20" t="s">
        <v>19</v>
      </c>
    </row>
    <row r="29" customFormat="false" ht="19.5" hidden="false" customHeight="true" outlineLevel="0" collapsed="false">
      <c r="A29" s="18" t="s">
        <v>71</v>
      </c>
      <c r="B29" s="19" t="s">
        <v>16</v>
      </c>
      <c r="C29" s="19" t="s">
        <v>87</v>
      </c>
      <c r="D29" s="19" t="s">
        <v>88</v>
      </c>
      <c r="E29" s="20" t="s">
        <v>47</v>
      </c>
      <c r="F29" s="20" t="s">
        <v>19</v>
      </c>
    </row>
    <row r="30" customFormat="false" ht="21.75" hidden="false" customHeight="true" outlineLevel="0" collapsed="false">
      <c r="A30" s="10"/>
      <c r="B30" s="10"/>
      <c r="C30" s="10"/>
      <c r="D30" s="21" t="s">
        <v>89</v>
      </c>
      <c r="E30" s="10"/>
      <c r="F30" s="10" t="n">
        <v>286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4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1" t="s">
        <v>90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 customFormat="false" ht="19.5" hidden="false" customHeight="true" outlineLevel="0" collapsed="false">
      <c r="A3" s="12" t="s">
        <v>15</v>
      </c>
      <c r="B3" s="13" t="s">
        <v>16</v>
      </c>
      <c r="C3" s="13" t="s">
        <v>91</v>
      </c>
      <c r="D3" s="13" t="s">
        <v>92</v>
      </c>
      <c r="E3" s="14" t="s">
        <v>16</v>
      </c>
      <c r="F3" s="14" t="s">
        <v>93</v>
      </c>
    </row>
    <row r="4" customFormat="false" ht="19.5" hidden="false" customHeight="true" outlineLevel="0" collapsed="false">
      <c r="A4" s="12" t="s">
        <v>15</v>
      </c>
      <c r="B4" s="13" t="s">
        <v>49</v>
      </c>
      <c r="C4" s="13" t="s">
        <v>94</v>
      </c>
      <c r="D4" s="13" t="s">
        <v>95</v>
      </c>
      <c r="E4" s="14" t="s">
        <v>40</v>
      </c>
      <c r="F4" s="14" t="s">
        <v>43</v>
      </c>
    </row>
    <row r="5" customFormat="false" ht="19.5" hidden="false" customHeight="true" outlineLevel="0" collapsed="false">
      <c r="A5" s="12" t="s">
        <v>15</v>
      </c>
      <c r="B5" s="13" t="s">
        <v>49</v>
      </c>
      <c r="C5" s="13" t="s">
        <v>96</v>
      </c>
      <c r="D5" s="13" t="s">
        <v>97</v>
      </c>
      <c r="E5" s="14" t="s">
        <v>40</v>
      </c>
      <c r="F5" s="14" t="s">
        <v>19</v>
      </c>
    </row>
    <row r="6" customFormat="false" ht="19.5" hidden="false" customHeight="true" outlineLevel="0" collapsed="false">
      <c r="A6" s="12" t="s">
        <v>15</v>
      </c>
      <c r="B6" s="13" t="s">
        <v>56</v>
      </c>
      <c r="C6" s="13" t="s">
        <v>98</v>
      </c>
      <c r="D6" s="13" t="s">
        <v>99</v>
      </c>
      <c r="E6" s="14" t="s">
        <v>59</v>
      </c>
      <c r="F6" s="14" t="s">
        <v>100</v>
      </c>
    </row>
    <row r="7" customFormat="false" ht="19.5" hidden="false" customHeight="true" outlineLevel="0" collapsed="false">
      <c r="A7" s="12" t="s">
        <v>15</v>
      </c>
      <c r="B7" s="13" t="s">
        <v>16</v>
      </c>
      <c r="C7" s="13" t="s">
        <v>28</v>
      </c>
      <c r="D7" s="13" t="s">
        <v>101</v>
      </c>
      <c r="E7" s="14" t="s">
        <v>30</v>
      </c>
      <c r="F7" s="14" t="s">
        <v>31</v>
      </c>
    </row>
    <row r="8" customFormat="false" ht="19.5" hidden="false" customHeight="true" outlineLevel="0" collapsed="false">
      <c r="A8" s="12" t="s">
        <v>15</v>
      </c>
      <c r="B8" s="13" t="s">
        <v>56</v>
      </c>
      <c r="C8" s="13" t="s">
        <v>102</v>
      </c>
      <c r="D8" s="13" t="s">
        <v>103</v>
      </c>
      <c r="E8" s="14" t="s">
        <v>59</v>
      </c>
      <c r="F8" s="14" t="s">
        <v>66</v>
      </c>
    </row>
    <row r="9" customFormat="false" ht="19.5" hidden="false" customHeight="true" outlineLevel="0" collapsed="false">
      <c r="A9" s="12" t="s">
        <v>15</v>
      </c>
      <c r="B9" s="13" t="s">
        <v>16</v>
      </c>
      <c r="C9" s="13" t="s">
        <v>28</v>
      </c>
      <c r="D9" s="13" t="s">
        <v>104</v>
      </c>
      <c r="E9" s="14" t="s">
        <v>30</v>
      </c>
      <c r="F9" s="14" t="s">
        <v>31</v>
      </c>
    </row>
    <row r="10" customFormat="false" ht="19.5" hidden="false" customHeight="true" outlineLevel="0" collapsed="false">
      <c r="A10" s="12" t="s">
        <v>15</v>
      </c>
      <c r="B10" s="13" t="s">
        <v>16</v>
      </c>
      <c r="C10" s="13" t="s">
        <v>45</v>
      </c>
      <c r="D10" s="13" t="s">
        <v>105</v>
      </c>
      <c r="E10" s="14" t="s">
        <v>47</v>
      </c>
      <c r="F10" s="14" t="s">
        <v>19</v>
      </c>
    </row>
    <row r="11" customFormat="false" ht="19.5" hidden="false" customHeight="true" outlineLevel="0" collapsed="false">
      <c r="A11" s="15" t="s">
        <v>48</v>
      </c>
      <c r="B11" s="16" t="s">
        <v>53</v>
      </c>
      <c r="C11" s="16" t="s">
        <v>106</v>
      </c>
      <c r="D11" s="16" t="s">
        <v>107</v>
      </c>
      <c r="E11" s="17" t="s">
        <v>40</v>
      </c>
      <c r="F11" s="17" t="s">
        <v>66</v>
      </c>
    </row>
    <row r="12" customFormat="false" ht="19.5" hidden="false" customHeight="true" outlineLevel="0" collapsed="false">
      <c r="A12" s="15" t="s">
        <v>48</v>
      </c>
      <c r="B12" s="16" t="s">
        <v>56</v>
      </c>
      <c r="C12" s="16" t="s">
        <v>108</v>
      </c>
      <c r="D12" s="16" t="s">
        <v>109</v>
      </c>
      <c r="E12" s="17" t="s">
        <v>59</v>
      </c>
      <c r="F12" s="17" t="s">
        <v>100</v>
      </c>
    </row>
    <row r="13" customFormat="false" ht="19.5" hidden="false" customHeight="true" outlineLevel="0" collapsed="false">
      <c r="A13" s="15" t="s">
        <v>48</v>
      </c>
      <c r="B13" s="16" t="s">
        <v>16</v>
      </c>
      <c r="C13" s="16" t="s">
        <v>28</v>
      </c>
      <c r="D13" s="16" t="s">
        <v>110</v>
      </c>
      <c r="E13" s="17" t="s">
        <v>30</v>
      </c>
      <c r="F13" s="17" t="s">
        <v>31</v>
      </c>
    </row>
    <row r="14" customFormat="false" ht="19.5" hidden="false" customHeight="true" outlineLevel="0" collapsed="false">
      <c r="A14" s="15" t="s">
        <v>48</v>
      </c>
      <c r="B14" s="16" t="s">
        <v>56</v>
      </c>
      <c r="C14" s="16" t="s">
        <v>111</v>
      </c>
      <c r="D14" s="16" t="s">
        <v>112</v>
      </c>
      <c r="E14" s="17" t="s">
        <v>59</v>
      </c>
      <c r="F14" s="17" t="s">
        <v>113</v>
      </c>
    </row>
    <row r="15" customFormat="false" ht="19.5" hidden="false" customHeight="true" outlineLevel="0" collapsed="false">
      <c r="A15" s="15" t="s">
        <v>48</v>
      </c>
      <c r="B15" s="16" t="s">
        <v>61</v>
      </c>
      <c r="C15" s="16" t="s">
        <v>114</v>
      </c>
      <c r="D15" s="16" t="s">
        <v>115</v>
      </c>
      <c r="E15" s="17" t="s">
        <v>40</v>
      </c>
      <c r="F15" s="17" t="s">
        <v>100</v>
      </c>
    </row>
    <row r="16" customFormat="false" ht="19.5" hidden="false" customHeight="true" outlineLevel="0" collapsed="false">
      <c r="A16" s="15" t="s">
        <v>48</v>
      </c>
      <c r="B16" s="16" t="s">
        <v>61</v>
      </c>
      <c r="C16" s="16" t="s">
        <v>116</v>
      </c>
      <c r="D16" s="16" t="s">
        <v>117</v>
      </c>
      <c r="E16" s="17" t="s">
        <v>40</v>
      </c>
      <c r="F16" s="17" t="s">
        <v>24</v>
      </c>
    </row>
    <row r="17" customFormat="false" ht="19.5" hidden="false" customHeight="true" outlineLevel="0" collapsed="false">
      <c r="A17" s="15" t="s">
        <v>48</v>
      </c>
      <c r="B17" s="16" t="s">
        <v>72</v>
      </c>
      <c r="C17" s="16" t="s">
        <v>118</v>
      </c>
      <c r="D17" s="16" t="s">
        <v>119</v>
      </c>
      <c r="E17" s="17" t="s">
        <v>59</v>
      </c>
      <c r="F17" s="17" t="s">
        <v>27</v>
      </c>
    </row>
    <row r="18" customFormat="false" ht="19.5" hidden="false" customHeight="true" outlineLevel="0" collapsed="false">
      <c r="A18" s="15" t="s">
        <v>48</v>
      </c>
      <c r="B18" s="16" t="s">
        <v>20</v>
      </c>
      <c r="C18" s="16" t="s">
        <v>25</v>
      </c>
      <c r="D18" s="16" t="s">
        <v>120</v>
      </c>
      <c r="E18" s="17" t="s">
        <v>121</v>
      </c>
      <c r="F18" s="17" t="s">
        <v>24</v>
      </c>
    </row>
    <row r="19" customFormat="false" ht="19.5" hidden="false" customHeight="true" outlineLevel="0" collapsed="false">
      <c r="A19" s="15" t="s">
        <v>48</v>
      </c>
      <c r="B19" s="16" t="s">
        <v>16</v>
      </c>
      <c r="C19" s="16" t="s">
        <v>28</v>
      </c>
      <c r="D19" s="16" t="s">
        <v>122</v>
      </c>
      <c r="E19" s="17" t="s">
        <v>30</v>
      </c>
      <c r="F19" s="17" t="s">
        <v>31</v>
      </c>
    </row>
    <row r="20" customFormat="false" ht="19.5" hidden="false" customHeight="true" outlineLevel="0" collapsed="false">
      <c r="A20" s="15" t="s">
        <v>48</v>
      </c>
      <c r="B20" s="16" t="s">
        <v>16</v>
      </c>
      <c r="C20" s="16" t="s">
        <v>45</v>
      </c>
      <c r="D20" s="16" t="s">
        <v>123</v>
      </c>
      <c r="E20" s="17" t="s">
        <v>47</v>
      </c>
      <c r="F20" s="17" t="s">
        <v>19</v>
      </c>
    </row>
    <row r="21" customFormat="false" ht="19.5" hidden="false" customHeight="true" outlineLevel="0" collapsed="false">
      <c r="A21" s="18" t="s">
        <v>71</v>
      </c>
      <c r="B21" s="19" t="s">
        <v>124</v>
      </c>
      <c r="C21" s="19" t="s">
        <v>125</v>
      </c>
      <c r="D21" s="19" t="s">
        <v>126</v>
      </c>
      <c r="E21" s="20" t="s">
        <v>59</v>
      </c>
      <c r="F21" s="20" t="s">
        <v>100</v>
      </c>
    </row>
    <row r="22" customFormat="false" ht="19.5" hidden="false" customHeight="true" outlineLevel="0" collapsed="false">
      <c r="A22" s="18" t="s">
        <v>71</v>
      </c>
      <c r="B22" s="19" t="s">
        <v>72</v>
      </c>
      <c r="C22" s="19" t="s">
        <v>127</v>
      </c>
      <c r="D22" s="19" t="s">
        <v>128</v>
      </c>
      <c r="E22" s="20" t="s">
        <v>75</v>
      </c>
      <c r="F22" s="20" t="s">
        <v>113</v>
      </c>
    </row>
    <row r="23" customFormat="false" ht="19.5" hidden="false" customHeight="true" outlineLevel="0" collapsed="false">
      <c r="A23" s="18" t="s">
        <v>71</v>
      </c>
      <c r="B23" s="19" t="s">
        <v>16</v>
      </c>
      <c r="C23" s="19" t="s">
        <v>28</v>
      </c>
      <c r="D23" s="19" t="s">
        <v>129</v>
      </c>
      <c r="E23" s="20" t="s">
        <v>30</v>
      </c>
      <c r="F23" s="20" t="s">
        <v>31</v>
      </c>
    </row>
    <row r="24" customFormat="false" ht="19.5" hidden="false" customHeight="true" outlineLevel="0" collapsed="false">
      <c r="A24" s="18" t="s">
        <v>71</v>
      </c>
      <c r="B24" s="19" t="s">
        <v>81</v>
      </c>
      <c r="C24" s="19" t="s">
        <v>130</v>
      </c>
      <c r="D24" s="19" t="s">
        <v>131</v>
      </c>
      <c r="E24" s="20" t="s">
        <v>84</v>
      </c>
      <c r="F24" s="20" t="s">
        <v>113</v>
      </c>
    </row>
    <row r="25" customFormat="false" ht="19.5" hidden="false" customHeight="true" outlineLevel="0" collapsed="false">
      <c r="A25" s="18" t="s">
        <v>71</v>
      </c>
      <c r="B25" s="19" t="s">
        <v>16</v>
      </c>
      <c r="C25" s="19" t="s">
        <v>28</v>
      </c>
      <c r="D25" s="19" t="s">
        <v>132</v>
      </c>
      <c r="E25" s="20" t="s">
        <v>30</v>
      </c>
      <c r="F25" s="20" t="s">
        <v>31</v>
      </c>
    </row>
    <row r="26" customFormat="false" ht="19.5" hidden="false" customHeight="true" outlineLevel="0" collapsed="false">
      <c r="A26" s="18" t="s">
        <v>71</v>
      </c>
      <c r="B26" s="19" t="s">
        <v>16</v>
      </c>
      <c r="C26" s="19" t="s">
        <v>45</v>
      </c>
      <c r="D26" s="19" t="s">
        <v>133</v>
      </c>
      <c r="E26" s="20" t="s">
        <v>47</v>
      </c>
      <c r="F26" s="20" t="s">
        <v>19</v>
      </c>
    </row>
    <row r="27" customFormat="false" ht="19.5" hidden="false" customHeight="true" outlineLevel="0" collapsed="false">
      <c r="A27" s="18" t="s">
        <v>71</v>
      </c>
      <c r="B27" s="19" t="s">
        <v>16</v>
      </c>
      <c r="C27" s="19" t="s">
        <v>134</v>
      </c>
      <c r="D27" s="19" t="s">
        <v>135</v>
      </c>
      <c r="E27" s="20" t="s">
        <v>136</v>
      </c>
      <c r="F27" s="20" t="s">
        <v>93</v>
      </c>
    </row>
    <row r="28" customFormat="false" ht="21.75" hidden="false" customHeight="true" outlineLevel="0" collapsed="false">
      <c r="A28" s="10"/>
      <c r="B28" s="10"/>
      <c r="C28" s="10"/>
      <c r="D28" s="21" t="s">
        <v>89</v>
      </c>
      <c r="E28" s="10"/>
      <c r="F28" s="10" t="n">
        <v>250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H27" activeCellId="0" sqref="H2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4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1" t="s">
        <v>137</v>
      </c>
      <c r="B1" s="11"/>
      <c r="C1" s="11"/>
      <c r="D1" s="11"/>
      <c r="E1" s="11"/>
      <c r="F1" s="11"/>
    </row>
    <row r="2" customFormat="false" ht="25.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</row>
    <row r="3" customFormat="false" ht="19.5" hidden="false" customHeight="true" outlineLevel="0" collapsed="false">
      <c r="A3" s="12" t="s">
        <v>15</v>
      </c>
      <c r="B3" s="13" t="s">
        <v>16</v>
      </c>
      <c r="C3" s="13" t="s">
        <v>138</v>
      </c>
      <c r="D3" s="13" t="s">
        <v>139</v>
      </c>
      <c r="E3" s="14" t="s">
        <v>16</v>
      </c>
      <c r="F3" s="14" t="n">
        <v>5</v>
      </c>
    </row>
    <row r="4" customFormat="false" ht="19.5" hidden="false" customHeight="true" outlineLevel="0" collapsed="false">
      <c r="A4" s="12" t="s">
        <v>15</v>
      </c>
      <c r="B4" s="13" t="s">
        <v>49</v>
      </c>
      <c r="C4" s="13" t="s">
        <v>140</v>
      </c>
      <c r="D4" s="13" t="s">
        <v>141</v>
      </c>
      <c r="E4" s="14" t="s">
        <v>40</v>
      </c>
      <c r="F4" s="14" t="n">
        <v>18</v>
      </c>
    </row>
    <row r="5" customFormat="false" ht="19.5" hidden="false" customHeight="true" outlineLevel="0" collapsed="false">
      <c r="A5" s="12" t="s">
        <v>15</v>
      </c>
      <c r="B5" s="13" t="s">
        <v>56</v>
      </c>
      <c r="C5" s="13" t="s">
        <v>142</v>
      </c>
      <c r="D5" s="13" t="s">
        <v>143</v>
      </c>
      <c r="E5" s="14" t="s">
        <v>59</v>
      </c>
      <c r="F5" s="14" t="n">
        <v>12</v>
      </c>
    </row>
    <row r="6" customFormat="false" ht="19.5" hidden="false" customHeight="true" outlineLevel="0" collapsed="false">
      <c r="A6" s="12" t="s">
        <v>15</v>
      </c>
      <c r="B6" s="13" t="s">
        <v>56</v>
      </c>
      <c r="C6" s="13" t="s">
        <v>144</v>
      </c>
      <c r="D6" s="13" t="s">
        <v>145</v>
      </c>
      <c r="E6" s="14" t="s">
        <v>75</v>
      </c>
      <c r="F6" s="14" t="s">
        <v>100</v>
      </c>
    </row>
    <row r="7" customFormat="false" ht="19.5" hidden="false" customHeight="true" outlineLevel="0" collapsed="false">
      <c r="A7" s="12" t="s">
        <v>15</v>
      </c>
      <c r="B7" s="13" t="s">
        <v>16</v>
      </c>
      <c r="C7" s="13" t="s">
        <v>28</v>
      </c>
      <c r="D7" s="13" t="s">
        <v>146</v>
      </c>
      <c r="E7" s="14" t="s">
        <v>30</v>
      </c>
      <c r="F7" s="14" t="n">
        <v>2</v>
      </c>
    </row>
    <row r="8" customFormat="false" ht="19.5" hidden="false" customHeight="true" outlineLevel="0" collapsed="false">
      <c r="A8" s="12" t="s">
        <v>15</v>
      </c>
      <c r="B8" s="13" t="s">
        <v>147</v>
      </c>
      <c r="C8" s="13" t="s">
        <v>38</v>
      </c>
      <c r="D8" s="13" t="s">
        <v>148</v>
      </c>
      <c r="E8" s="14" t="s">
        <v>40</v>
      </c>
      <c r="F8" s="14" t="n">
        <v>20</v>
      </c>
    </row>
    <row r="9" customFormat="false" ht="19.5" hidden="false" customHeight="true" outlineLevel="0" collapsed="false">
      <c r="A9" s="12" t="s">
        <v>15</v>
      </c>
      <c r="B9" s="13" t="s">
        <v>56</v>
      </c>
      <c r="C9" s="13" t="s">
        <v>149</v>
      </c>
      <c r="D9" s="13" t="s">
        <v>150</v>
      </c>
      <c r="E9" s="14" t="s">
        <v>59</v>
      </c>
      <c r="F9" s="14" t="s">
        <v>113</v>
      </c>
    </row>
    <row r="10" customFormat="false" ht="19.5" hidden="false" customHeight="true" outlineLevel="0" collapsed="false">
      <c r="A10" s="12" t="s">
        <v>15</v>
      </c>
      <c r="B10" s="13" t="s">
        <v>16</v>
      </c>
      <c r="C10" s="13" t="s">
        <v>28</v>
      </c>
      <c r="D10" s="13" t="s">
        <v>151</v>
      </c>
      <c r="E10" s="14" t="s">
        <v>30</v>
      </c>
      <c r="F10" s="14" t="s">
        <v>31</v>
      </c>
    </row>
    <row r="11" customFormat="false" ht="19.5" hidden="false" customHeight="true" outlineLevel="0" collapsed="false">
      <c r="A11" s="12" t="s">
        <v>15</v>
      </c>
      <c r="B11" s="13" t="s">
        <v>16</v>
      </c>
      <c r="C11" s="13" t="s">
        <v>45</v>
      </c>
      <c r="D11" s="13" t="s">
        <v>152</v>
      </c>
      <c r="E11" s="14" t="s">
        <v>47</v>
      </c>
      <c r="F11" s="14" t="s">
        <v>19</v>
      </c>
    </row>
    <row r="12" customFormat="false" ht="19.5" hidden="false" customHeight="true" outlineLevel="0" collapsed="false">
      <c r="A12" s="15" t="s">
        <v>48</v>
      </c>
      <c r="B12" s="16" t="s">
        <v>153</v>
      </c>
      <c r="C12" s="16" t="s">
        <v>38</v>
      </c>
      <c r="D12" s="16" t="s">
        <v>154</v>
      </c>
      <c r="E12" s="17" t="s">
        <v>40</v>
      </c>
      <c r="F12" s="17" t="s">
        <v>155</v>
      </c>
    </row>
    <row r="13" customFormat="false" ht="19.5" hidden="false" customHeight="true" outlineLevel="0" collapsed="false">
      <c r="A13" s="15" t="s">
        <v>48</v>
      </c>
      <c r="B13" s="16" t="s">
        <v>153</v>
      </c>
      <c r="C13" s="16" t="s">
        <v>156</v>
      </c>
      <c r="D13" s="16" t="s">
        <v>157</v>
      </c>
      <c r="E13" s="17" t="s">
        <v>40</v>
      </c>
      <c r="F13" s="17" t="s">
        <v>24</v>
      </c>
    </row>
    <row r="14" customFormat="false" ht="19.5" hidden="false" customHeight="true" outlineLevel="0" collapsed="false">
      <c r="A14" s="15" t="s">
        <v>48</v>
      </c>
      <c r="B14" s="16" t="s">
        <v>153</v>
      </c>
      <c r="C14" s="16" t="s">
        <v>158</v>
      </c>
      <c r="D14" s="16" t="s">
        <v>159</v>
      </c>
      <c r="E14" s="17" t="s">
        <v>40</v>
      </c>
      <c r="F14" s="17" t="s">
        <v>100</v>
      </c>
    </row>
    <row r="15" customFormat="false" ht="19.5" hidden="false" customHeight="true" outlineLevel="0" collapsed="false">
      <c r="A15" s="15" t="s">
        <v>48</v>
      </c>
      <c r="B15" s="16" t="s">
        <v>16</v>
      </c>
      <c r="C15" s="16" t="s">
        <v>28</v>
      </c>
      <c r="D15" s="16" t="s">
        <v>160</v>
      </c>
      <c r="E15" s="17" t="s">
        <v>30</v>
      </c>
      <c r="F15" s="17" t="s">
        <v>31</v>
      </c>
    </row>
    <row r="16" customFormat="false" ht="19.5" hidden="false" customHeight="true" outlineLevel="0" collapsed="false">
      <c r="A16" s="15" t="s">
        <v>48</v>
      </c>
      <c r="B16" s="16" t="s">
        <v>56</v>
      </c>
      <c r="C16" s="16" t="s">
        <v>161</v>
      </c>
      <c r="D16" s="16" t="s">
        <v>162</v>
      </c>
      <c r="E16" s="17" t="s">
        <v>59</v>
      </c>
      <c r="F16" s="17" t="s">
        <v>24</v>
      </c>
    </row>
    <row r="17" customFormat="false" ht="19.5" hidden="false" customHeight="true" outlineLevel="0" collapsed="false">
      <c r="A17" s="15" t="s">
        <v>48</v>
      </c>
      <c r="B17" s="16" t="s">
        <v>61</v>
      </c>
      <c r="C17" s="16" t="s">
        <v>163</v>
      </c>
      <c r="D17" s="16" t="s">
        <v>164</v>
      </c>
      <c r="E17" s="17" t="s">
        <v>40</v>
      </c>
      <c r="F17" s="17" t="s">
        <v>113</v>
      </c>
    </row>
    <row r="18" customFormat="false" ht="19.5" hidden="false" customHeight="true" outlineLevel="0" collapsed="false">
      <c r="A18" s="15" t="s">
        <v>48</v>
      </c>
      <c r="B18" s="16" t="s">
        <v>72</v>
      </c>
      <c r="C18" s="16" t="s">
        <v>165</v>
      </c>
      <c r="D18" s="16" t="s">
        <v>166</v>
      </c>
      <c r="E18" s="17" t="s">
        <v>59</v>
      </c>
      <c r="F18" s="17" t="s">
        <v>100</v>
      </c>
    </row>
    <row r="19" customFormat="false" ht="19.5" hidden="false" customHeight="true" outlineLevel="0" collapsed="false">
      <c r="A19" s="15" t="s">
        <v>48</v>
      </c>
      <c r="B19" s="16" t="s">
        <v>61</v>
      </c>
      <c r="C19" s="16" t="s">
        <v>167</v>
      </c>
      <c r="D19" s="16" t="s">
        <v>168</v>
      </c>
      <c r="E19" s="17" t="s">
        <v>40</v>
      </c>
      <c r="F19" s="17" t="s">
        <v>24</v>
      </c>
    </row>
    <row r="20" customFormat="false" ht="19.5" hidden="false" customHeight="true" outlineLevel="0" collapsed="false">
      <c r="A20" s="15" t="s">
        <v>48</v>
      </c>
      <c r="B20" s="16" t="s">
        <v>72</v>
      </c>
      <c r="C20" s="16" t="s">
        <v>169</v>
      </c>
      <c r="D20" s="16" t="s">
        <v>170</v>
      </c>
      <c r="E20" s="17" t="s">
        <v>59</v>
      </c>
      <c r="F20" s="17" t="s">
        <v>27</v>
      </c>
    </row>
    <row r="21" customFormat="false" ht="19.5" hidden="false" customHeight="true" outlineLevel="0" collapsed="false">
      <c r="A21" s="15" t="s">
        <v>48</v>
      </c>
      <c r="B21" s="16" t="s">
        <v>16</v>
      </c>
      <c r="C21" s="16" t="s">
        <v>28</v>
      </c>
      <c r="D21" s="16" t="s">
        <v>171</v>
      </c>
      <c r="E21" s="17" t="s">
        <v>30</v>
      </c>
      <c r="F21" s="17" t="s">
        <v>31</v>
      </c>
    </row>
    <row r="22" customFormat="false" ht="19.5" hidden="false" customHeight="true" outlineLevel="0" collapsed="false">
      <c r="A22" s="15" t="s">
        <v>48</v>
      </c>
      <c r="B22" s="16" t="s">
        <v>16</v>
      </c>
      <c r="C22" s="16" t="s">
        <v>45</v>
      </c>
      <c r="D22" s="16" t="s">
        <v>172</v>
      </c>
      <c r="E22" s="17" t="s">
        <v>47</v>
      </c>
      <c r="F22" s="17" t="s">
        <v>19</v>
      </c>
    </row>
    <row r="23" customFormat="false" ht="19.5" hidden="false" customHeight="true" outlineLevel="0" collapsed="false">
      <c r="A23" s="18" t="s">
        <v>71</v>
      </c>
      <c r="B23" s="19" t="s">
        <v>173</v>
      </c>
      <c r="C23" s="19" t="s">
        <v>174</v>
      </c>
      <c r="D23" s="19" t="s">
        <v>175</v>
      </c>
      <c r="E23" s="20" t="s">
        <v>79</v>
      </c>
      <c r="F23" s="20" t="s">
        <v>176</v>
      </c>
    </row>
    <row r="24" customFormat="false" ht="19.5" hidden="false" customHeight="true" outlineLevel="0" collapsed="false">
      <c r="A24" s="18" t="s">
        <v>71</v>
      </c>
      <c r="B24" s="19" t="s">
        <v>72</v>
      </c>
      <c r="C24" s="19" t="s">
        <v>177</v>
      </c>
      <c r="D24" s="19" t="s">
        <v>178</v>
      </c>
      <c r="E24" s="20" t="s">
        <v>59</v>
      </c>
      <c r="F24" s="20" t="s">
        <v>27</v>
      </c>
    </row>
    <row r="25" customFormat="false" ht="19.5" hidden="false" customHeight="true" outlineLevel="0" collapsed="false">
      <c r="A25" s="18" t="s">
        <v>71</v>
      </c>
      <c r="B25" s="19" t="s">
        <v>16</v>
      </c>
      <c r="C25" s="19" t="s">
        <v>28</v>
      </c>
      <c r="D25" s="19" t="s">
        <v>179</v>
      </c>
      <c r="E25" s="20" t="s">
        <v>30</v>
      </c>
      <c r="F25" s="20" t="s">
        <v>31</v>
      </c>
    </row>
    <row r="26" customFormat="false" ht="19.5" hidden="false" customHeight="true" outlineLevel="0" collapsed="false">
      <c r="A26" s="18" t="s">
        <v>71</v>
      </c>
      <c r="B26" s="19" t="s">
        <v>81</v>
      </c>
      <c r="C26" s="19" t="s">
        <v>180</v>
      </c>
      <c r="D26" s="19" t="s">
        <v>181</v>
      </c>
      <c r="E26" s="20" t="s">
        <v>84</v>
      </c>
      <c r="F26" s="20" t="s">
        <v>113</v>
      </c>
    </row>
    <row r="27" customFormat="false" ht="19.5" hidden="false" customHeight="true" outlineLevel="0" collapsed="false">
      <c r="A27" s="18" t="s">
        <v>71</v>
      </c>
      <c r="B27" s="19" t="s">
        <v>16</v>
      </c>
      <c r="C27" s="19" t="s">
        <v>28</v>
      </c>
      <c r="D27" s="19" t="s">
        <v>182</v>
      </c>
      <c r="E27" s="20" t="s">
        <v>30</v>
      </c>
      <c r="F27" s="20" t="s">
        <v>31</v>
      </c>
    </row>
    <row r="28" customFormat="false" ht="19.5" hidden="false" customHeight="true" outlineLevel="0" collapsed="false">
      <c r="A28" s="18" t="s">
        <v>71</v>
      </c>
      <c r="B28" s="19" t="s">
        <v>16</v>
      </c>
      <c r="C28" s="19" t="s">
        <v>45</v>
      </c>
      <c r="D28" s="19" t="s">
        <v>183</v>
      </c>
      <c r="E28" s="20" t="s">
        <v>47</v>
      </c>
      <c r="F28" s="20" t="s">
        <v>19</v>
      </c>
    </row>
    <row r="29" customFormat="false" ht="21.75" hidden="false" customHeight="true" outlineLevel="0" collapsed="false">
      <c r="A29" s="10"/>
      <c r="B29" s="10"/>
      <c r="C29" s="10"/>
      <c r="D29" s="21" t="s">
        <v>89</v>
      </c>
      <c r="E29" s="10"/>
      <c r="F29" s="10" t="n">
        <v>267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2026-05-10T18:23:31Z</dcterms:created>
  <dc:creator>openpyxl</dc:creator>
  <dc:description/>
  <dc:language>fr-FR</dc:language>
  <cp:lastModifiedBy/>
  <dcterms:modified xsi:type="dcterms:W3CDTF">2026-05-10T21:32:24Z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